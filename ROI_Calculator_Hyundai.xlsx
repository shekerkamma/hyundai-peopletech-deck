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ilot Sizing" sheetId="2" state="visible" r:id="rId2"/>
    <sheet xmlns:r="http://schemas.openxmlformats.org/officeDocument/2006/relationships" name="Full Use Cas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0.0%"/>
    <numFmt numFmtId="167" formatCode="0.0&quot;×&quot;"/>
    <numFmt numFmtId="168" formatCode="0.0&quot; mo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A2754"/>
      <sz val="11"/>
    </font>
    <font>
      <name val="Calibri"/>
      <color rgb="001E293B"/>
      <sz val="11"/>
    </font>
    <font>
      <name val="Calibri"/>
      <b val="1"/>
      <color rgb="001E293B"/>
      <sz val="11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4A085"/>
      <sz val="11"/>
    </font>
    <font>
      <name val="Calibri"/>
      <b val="1"/>
      <color rgb="00FFFFFF"/>
      <sz val="12"/>
    </font>
    <font>
      <name val="Calibri"/>
      <b val="1"/>
      <color rgb="001A2754"/>
      <sz val="12"/>
    </font>
  </fonts>
  <fills count="9">
    <fill>
      <patternFill/>
    </fill>
    <fill>
      <patternFill patternType="gray125"/>
    </fill>
    <fill>
      <patternFill patternType="solid">
        <fgColor rgb="001A2754"/>
      </patternFill>
    </fill>
    <fill>
      <patternFill patternType="solid">
        <fgColor rgb="00E2E8F0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14A08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wrapText="1" indent="1"/>
    </xf>
    <xf numFmtId="3" fontId="4" fillId="4" borderId="1" applyAlignment="1" pivotButton="0" quotePrefix="0" xfId="0">
      <alignment horizontal="right" vertical="center" indent="1"/>
    </xf>
    <xf numFmtId="0" fontId="3" fillId="5" borderId="1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left" vertical="center" wrapText="1" indent="1"/>
    </xf>
    <xf numFmtId="164" fontId="4" fillId="4" borderId="1" applyAlignment="1" pivotButton="0" quotePrefix="0" xfId="0">
      <alignment horizontal="right" vertical="center" indent="1"/>
    </xf>
    <xf numFmtId="165" fontId="4" fillId="4" borderId="1" applyAlignment="1" pivotButton="0" quotePrefix="0" xfId="0">
      <alignment horizontal="right" vertical="center" indent="1"/>
    </xf>
    <xf numFmtId="10" fontId="4" fillId="4" borderId="1" applyAlignment="1" pivotButton="0" quotePrefix="0" xfId="0">
      <alignment horizontal="right" vertical="center" indent="1"/>
    </xf>
    <xf numFmtId="166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2" fillId="6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left" vertical="center" indent="1"/>
    </xf>
    <xf numFmtId="3" fontId="3" fillId="5" borderId="1" applyAlignment="1" pivotButton="0" quotePrefix="0" xfId="0">
      <alignment horizontal="right" vertical="center" indent="1"/>
    </xf>
    <xf numFmtId="164" fontId="7" fillId="5" borderId="1" applyAlignment="1" pivotButton="0" quotePrefix="0" xfId="0">
      <alignment horizontal="right" vertical="center" indent="1"/>
    </xf>
    <xf numFmtId="164" fontId="3" fillId="5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left" vertical="center" wrapText="1" indent="1"/>
    </xf>
    <xf numFmtId="164" fontId="8" fillId="7" borderId="1" applyAlignment="1" pivotButton="0" quotePrefix="0" xfId="0">
      <alignment horizontal="right" vertical="center" indent="1"/>
    </xf>
    <xf numFmtId="167" fontId="8" fillId="2" borderId="1" applyAlignment="1" pivotButton="0" quotePrefix="0" xfId="0">
      <alignment horizontal="right" vertical="center" indent="1"/>
    </xf>
    <xf numFmtId="168" fontId="4" fillId="5" borderId="1" applyAlignment="1" pivotButton="0" quotePrefix="0" xfId="0">
      <alignment horizontal="right" vertical="center" indent="1"/>
    </xf>
    <xf numFmtId="165" fontId="3" fillId="5" borderId="1" applyAlignment="1" pivotButton="0" quotePrefix="0" xfId="0">
      <alignment horizontal="right" vertical="center" indent="1"/>
    </xf>
    <xf numFmtId="0" fontId="2" fillId="8" borderId="0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right" vertical="center" indent="1"/>
    </xf>
    <xf numFmtId="164" fontId="1" fillId="7" borderId="1" applyAlignment="1" pivotButton="0" quotePrefix="0" xfId="0">
      <alignment horizontal="right" vertical="center" indent="1"/>
    </xf>
    <xf numFmtId="166" fontId="4" fillId="5" borderId="1" applyAlignment="1" pivotButton="0" quotePrefix="0" xfId="0">
      <alignment horizontal="right" vertical="center" indent="1"/>
    </xf>
    <xf numFmtId="164" fontId="8" fillId="2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46" customWidth="1" min="4" max="4"/>
  </cols>
  <sheetData>
    <row r="1" ht="30" customHeight="1">
      <c r="A1" s="1" t="inlineStr">
        <is>
          <t>ROI INPUTS  ·  Yellow cells = edit these</t>
        </is>
      </c>
    </row>
    <row r="3" ht="22" customHeight="1">
      <c r="A3" s="2" t="inlineStr">
        <is>
          <t>Plant &amp; Line Economics</t>
        </is>
      </c>
    </row>
    <row r="4">
      <c r="A4" s="3" t="inlineStr">
        <is>
          <t>Vehicles produced per day (single line)</t>
        </is>
      </c>
      <c r="B4" s="4" t="n">
        <v>1600</v>
      </c>
      <c r="C4" s="5" t="inlineStr"/>
      <c r="D4" s="6" t="inlineStr">
        <is>
          <t>Ulsan single line, 2 shifts. ~400K/yr per line.</t>
        </is>
      </c>
    </row>
    <row r="5">
      <c r="A5" s="3" t="inlineStr">
        <is>
          <t>Production days per year</t>
        </is>
      </c>
      <c r="B5" s="4" t="n">
        <v>300</v>
      </c>
      <c r="C5" s="5" t="inlineStr"/>
      <c r="D5" s="6" t="inlineStr">
        <is>
          <t>~6 days/week, planned shutdowns excluded.</t>
        </is>
      </c>
    </row>
    <row r="6">
      <c r="A6" s="3" t="inlineStr">
        <is>
          <t>Average vehicle revenue (USD)</t>
        </is>
      </c>
      <c r="B6" s="7" t="n">
        <v>30000</v>
      </c>
      <c r="C6" s="5" t="inlineStr"/>
      <c r="D6" s="6" t="inlineStr">
        <is>
          <t>Mix of Tucson, Santa Fe, IONIQ — use your blended ASP.</t>
        </is>
      </c>
    </row>
    <row r="7">
      <c r="A7" s="3" t="inlineStr">
        <is>
          <t>Average warranty cost per defect escape (USD)</t>
        </is>
      </c>
      <c r="B7" s="7" t="n">
        <v>450</v>
      </c>
      <c r="C7" s="5" t="inlineStr"/>
      <c r="D7" s="6" t="inlineStr">
        <is>
          <t>Industry-standard $300–$800 depending on defect class.</t>
        </is>
      </c>
    </row>
    <row r="8">
      <c r="A8" s="3" t="inlineStr">
        <is>
          <t>Average rework cost per defect (USD)</t>
        </is>
      </c>
      <c r="B8" s="7" t="n">
        <v>180</v>
      </c>
      <c r="C8" s="5" t="inlineStr"/>
      <c r="D8" s="6" t="inlineStr">
        <is>
          <t>Includes labor + materials + line disruption.</t>
        </is>
      </c>
    </row>
    <row r="9">
      <c r="A9" s="3" t="inlineStr">
        <is>
          <t>Hourly fully-loaded line labor cost (USD)</t>
        </is>
      </c>
      <c r="B9" s="7" t="n">
        <v>95</v>
      </c>
      <c r="C9" s="5" t="inlineStr"/>
      <c r="D9" s="6" t="inlineStr">
        <is>
          <t>Per operator, includes benefits.</t>
        </is>
      </c>
    </row>
    <row r="10">
      <c r="A10" s="3" t="inlineStr">
        <is>
          <t>Unplanned downtime cost per minute (USD)</t>
        </is>
      </c>
      <c r="B10" s="7" t="n">
        <v>22000</v>
      </c>
      <c r="C10" s="5" t="inlineStr"/>
      <c r="D10" s="6" t="inlineStr">
        <is>
          <t>Industry-standard for high-volume automotive line.</t>
        </is>
      </c>
    </row>
    <row r="11">
      <c r="A11" s="3" t="inlineStr">
        <is>
          <t>Current unplanned downtime (hrs / week)</t>
        </is>
      </c>
      <c r="B11" s="8" t="n">
        <v>6.4</v>
      </c>
      <c r="C11" s="5" t="inlineStr"/>
      <c r="D11" s="6" t="inlineStr">
        <is>
          <t>Default from Global EV manufacturer baseline.</t>
        </is>
      </c>
    </row>
    <row r="12">
      <c r="A12" s="3" t="inlineStr">
        <is>
          <t>Current defect escape rate (% of vehicles)</t>
        </is>
      </c>
      <c r="B12" s="9" t="n">
        <v>0.012</v>
      </c>
      <c r="C12" s="5" t="inlineStr"/>
      <c r="D12" s="6" t="inlineStr">
        <is>
          <t>1.2% — typical pre-AI baseline.</t>
        </is>
      </c>
    </row>
    <row r="13">
      <c r="A13" s="3" t="inlineStr">
        <is>
          <t>Current rework rate (% of vehicles)</t>
        </is>
      </c>
      <c r="B13" s="9" t="n">
        <v>0.08</v>
      </c>
      <c r="C13" s="5" t="inlineStr"/>
      <c r="D13" s="6" t="inlineStr">
        <is>
          <t>8% pre-AI typical on premium SUV lines.</t>
        </is>
      </c>
    </row>
    <row r="14">
      <c r="A14" s="3" t="inlineStr">
        <is>
          <t>Discount rate (for NPV)</t>
        </is>
      </c>
      <c r="B14" s="10" t="n">
        <v>0.1</v>
      </c>
      <c r="C14" s="5" t="inlineStr"/>
      <c r="D14" s="6" t="inlineStr">
        <is>
          <t>Standard corporate discount rate.</t>
        </is>
      </c>
    </row>
    <row r="16" ht="22" customHeight="1">
      <c r="A16" s="2" t="inlineStr">
        <is>
          <t>Pilot Economics — PeopleTech engagement</t>
        </is>
      </c>
    </row>
    <row r="17">
      <c r="A17" s="3" t="inlineStr">
        <is>
          <t>Pilot duration (weeks)</t>
        </is>
      </c>
      <c r="B17" s="11" t="n">
        <v>12</v>
      </c>
      <c r="D17" s="6" t="inlineStr">
        <is>
          <t>Discovery + delivery + measurement.</t>
        </is>
      </c>
    </row>
    <row r="18">
      <c r="A18" s="3" t="inlineStr">
        <is>
          <t>Pilot fixed fee per use case (USD)</t>
        </is>
      </c>
      <c r="B18" s="7" t="n">
        <v>450000</v>
      </c>
      <c r="D18" s="6" t="inlineStr">
        <is>
          <t>PeopleTech embedded pod, fixed-scope.</t>
        </is>
      </c>
    </row>
    <row r="19">
      <c r="A19" s="3" t="inlineStr">
        <is>
          <t>Per-line scale rollout cost (USD)</t>
        </is>
      </c>
      <c r="B19" s="7" t="n">
        <v>200000</v>
      </c>
      <c r="D19" s="6" t="inlineStr">
        <is>
          <t>Hardware + integration per additional line.</t>
        </is>
      </c>
    </row>
    <row r="20">
      <c r="A20" s="3" t="inlineStr">
        <is>
          <t>Annual managed-service / Run cost (USD)</t>
        </is>
      </c>
      <c r="B20" s="7" t="n">
        <v>180000</v>
      </c>
      <c r="D20" s="6" t="inlineStr">
        <is>
          <t>Drift monitoring, retraining, 24×7 support per pilot.</t>
        </is>
      </c>
    </row>
    <row r="21">
      <c r="A21" s="3" t="inlineStr">
        <is>
          <t>Number of lines / assets in full rollout</t>
        </is>
      </c>
      <c r="B21" s="11" t="n">
        <v>8</v>
      </c>
      <c r="D21" s="6" t="inlineStr">
        <is>
          <t>How many lines (Visual Inspection) or asset groups (PM) to scale to.</t>
        </is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 ht="30" customHeight="1">
      <c r="A1" s="1" t="inlineStr">
        <is>
          <t>PILOT SIZING  ·  Two Recommended Pilots</t>
        </is>
      </c>
    </row>
    <row r="3" ht="22" customHeight="1">
      <c r="A3" s="12" t="inlineStr">
        <is>
          <t>Pilot 1 — AI-based Visual Inspection (Recommended: HMGMA paint, IONIQ line)</t>
        </is>
      </c>
    </row>
    <row r="4">
      <c r="A4" s="13" t="inlineStr">
        <is>
          <t>Metric</t>
        </is>
      </c>
      <c r="B4" s="13" t="inlineStr">
        <is>
          <t>Baseline</t>
        </is>
      </c>
      <c r="C4" s="13" t="inlineStr">
        <is>
          <t>With AI</t>
        </is>
      </c>
      <c r="D4" s="13" t="inlineStr">
        <is>
          <t>Annual Value</t>
        </is>
      </c>
      <c r="E4" s="13" t="inlineStr">
        <is>
          <t>Logic</t>
        </is>
      </c>
    </row>
    <row r="5">
      <c r="A5" s="3" t="inlineStr">
        <is>
          <t>Defect escapes per year</t>
        </is>
      </c>
      <c r="B5" s="14">
        <f>Inputs!$B$4*Inputs!$B$5*Inputs!$B$12</f>
        <v/>
      </c>
      <c r="C5" s="14">
        <f>Inputs!$B$4*Inputs!$B$5*Inputs!$B$12*(1-0.60)</f>
        <v/>
      </c>
      <c r="D5" s="15">
        <f>(B5-C5)*Inputs!$B$7</f>
        <v/>
      </c>
      <c r="E5" s="6" t="inlineStr">
        <is>
          <t>−60% escape defects (deck benchmark)</t>
        </is>
      </c>
    </row>
    <row r="6">
      <c r="A6" s="3" t="inlineStr">
        <is>
          <t>Rework events per year</t>
        </is>
      </c>
      <c r="B6" s="14">
        <f>Inputs!$B$4*Inputs!$B$5*Inputs!$B$13</f>
        <v/>
      </c>
      <c r="C6" s="14">
        <f>Inputs!$B$4*Inputs!$B$5*Inputs!$B$13*(1-0.45)</f>
        <v/>
      </c>
      <c r="D6" s="15">
        <f>(B6-C6)*Inputs!$B$8</f>
        <v/>
      </c>
      <c r="E6" s="6" t="inlineStr">
        <is>
          <t>−45% rework cost (deck benchmark)</t>
        </is>
      </c>
    </row>
    <row r="7">
      <c r="A7" s="3" t="inlineStr">
        <is>
          <t>Manual inspection labor (annualized USD)</t>
        </is>
      </c>
      <c r="B7" s="16">
        <f>4*Inputs!$B$9*8*Inputs!$B$5</f>
        <v/>
      </c>
      <c r="C7" s="16">
        <f>2*Inputs!$B$9*8*Inputs!$B$5</f>
        <v/>
      </c>
      <c r="D7" s="15">
        <f>B7-C7</f>
        <v/>
      </c>
      <c r="E7" s="6" t="inlineStr">
        <is>
          <t>4 inspectors → 2 supervisors per shift</t>
        </is>
      </c>
    </row>
    <row r="9">
      <c r="A9" s="17" t="inlineStr">
        <is>
          <t>Annual Value per Line (Pilot 1)</t>
        </is>
      </c>
      <c r="D9" s="18">
        <f>SUM(D5:D7)</f>
        <v/>
      </c>
    </row>
    <row r="10">
      <c r="A10" s="3" t="inlineStr">
        <is>
          <t>Year-1 Investment (1 pilot)</t>
        </is>
      </c>
      <c r="D10" s="16">
        <f>Inputs!$B$18</f>
        <v/>
      </c>
    </row>
    <row r="11">
      <c r="A11" s="17" t="inlineStr">
        <is>
          <t>Year-1 ROI (single-line pilot)</t>
        </is>
      </c>
      <c r="D11" s="19">
        <f>D9/D10</f>
        <v/>
      </c>
    </row>
    <row r="12">
      <c r="A12" s="3" t="inlineStr">
        <is>
          <t>Payback (months)</t>
        </is>
      </c>
      <c r="D12" s="20">
        <f>D10/(D9/12)</f>
        <v/>
      </c>
    </row>
    <row r="13">
      <c r="A13" s="17" t="inlineStr">
        <is>
          <t>Scaled value (full rollout, annual)</t>
        </is>
      </c>
      <c r="D13" s="18">
        <f>D9*Inputs!$B$21</f>
        <v/>
      </c>
    </row>
    <row r="15" ht="22" customHeight="1">
      <c r="A15" s="12" t="inlineStr">
        <is>
          <t>Pilot 2 — Predictive Maintenance (Recommended: Ulsan stamping + Asan welding)</t>
        </is>
      </c>
    </row>
    <row r="16">
      <c r="A16" s="13" t="inlineStr">
        <is>
          <t>Metric</t>
        </is>
      </c>
      <c r="B16" s="13" t="inlineStr">
        <is>
          <t>Baseline</t>
        </is>
      </c>
      <c r="C16" s="13" t="inlineStr">
        <is>
          <t>With AI</t>
        </is>
      </c>
      <c r="D16" s="13" t="inlineStr">
        <is>
          <t>Annual Value</t>
        </is>
      </c>
      <c r="E16" s="13" t="inlineStr">
        <is>
          <t>Logic</t>
        </is>
      </c>
    </row>
    <row r="17">
      <c r="A17" s="3" t="inlineStr">
        <is>
          <t>Unplanned downtime (hrs / year)</t>
        </is>
      </c>
      <c r="B17" s="21">
        <f>Inputs!$B$11*52</f>
        <v/>
      </c>
      <c r="C17" s="21">
        <f>Inputs!$B$11*52*(1-0.40)</f>
        <v/>
      </c>
      <c r="D17" s="15">
        <f>(B17-C17)*60*Inputs!$B$10</f>
        <v/>
      </c>
      <c r="E17" s="6" t="inlineStr">
        <is>
          <t>−40% unplanned downtime (deck benchmark, 5:1 ROI)</t>
        </is>
      </c>
    </row>
    <row r="18">
      <c r="A18" s="3" t="inlineStr">
        <is>
          <t>Reactive maintenance cost (annualized USD)</t>
        </is>
      </c>
      <c r="B18" s="16">
        <f>12*8*Inputs!$B$9*52</f>
        <v/>
      </c>
      <c r="C18" s="16">
        <f>12*8*Inputs!$B$9*52*(1-0.30)</f>
        <v/>
      </c>
      <c r="D18" s="15">
        <f>B18-C18</f>
        <v/>
      </c>
      <c r="E18" s="6" t="inlineStr">
        <is>
          <t>−30% maintenance cost</t>
        </is>
      </c>
    </row>
    <row r="19">
      <c r="A19" s="3" t="inlineStr">
        <is>
          <t>Asset lifespan extension (annualized USD)</t>
        </is>
      </c>
      <c r="B19" s="16">
        <f>2500000</f>
        <v/>
      </c>
      <c r="C19" s="16">
        <f>2500000*(1+0.25)</f>
        <v/>
      </c>
      <c r="D19" s="15">
        <f>C19-B19</f>
        <v/>
      </c>
      <c r="E19" s="6" t="inlineStr">
        <is>
          <t>+25% asset lifespan amortized over $2.5M typical asset</t>
        </is>
      </c>
    </row>
    <row r="21">
      <c r="A21" s="17" t="inlineStr">
        <is>
          <t>Annual Value per Line/Asset Group (Pilot 2)</t>
        </is>
      </c>
      <c r="D21" s="18">
        <f>SUM(D17:D19)</f>
        <v/>
      </c>
    </row>
    <row r="22">
      <c r="A22" s="3" t="inlineStr">
        <is>
          <t>Year-1 Investment (1 pilot)</t>
        </is>
      </c>
      <c r="D22" s="16">
        <f>Inputs!$B$18</f>
        <v/>
      </c>
    </row>
    <row r="23">
      <c r="A23" s="17" t="inlineStr">
        <is>
          <t>Year-1 ROI (single-pilot)</t>
        </is>
      </c>
      <c r="D23" s="19">
        <f>D21/D22</f>
        <v/>
      </c>
    </row>
    <row r="24">
      <c r="A24" s="3" t="inlineStr">
        <is>
          <t>Payback (months)</t>
        </is>
      </c>
      <c r="D24" s="20">
        <f>D22/(D21/12)</f>
        <v/>
      </c>
    </row>
    <row r="25">
      <c r="A25" s="17" t="inlineStr">
        <is>
          <t>Scaled value (full rollout, annual)</t>
        </is>
      </c>
      <c r="D25" s="18">
        <f>D21*Inputs!$B$21</f>
        <v/>
      </c>
    </row>
    <row r="27" ht="22" customHeight="1">
      <c r="A27" s="22" t="inlineStr">
        <is>
          <t>Combined 3-Year NPV — Both Pilots Scaled</t>
        </is>
      </c>
    </row>
    <row r="28">
      <c r="A28" s="13" t="inlineStr">
        <is>
          <t>Year</t>
        </is>
      </c>
      <c r="B28" s="13" t="inlineStr">
        <is>
          <t>Investment</t>
        </is>
      </c>
      <c r="C28" s="13" t="inlineStr">
        <is>
          <t>Annual Value</t>
        </is>
      </c>
      <c r="D28" s="13" t="inlineStr">
        <is>
          <t>Net Cashflow</t>
        </is>
      </c>
      <c r="E28" s="13" t="inlineStr">
        <is>
          <t>Discounted</t>
        </is>
      </c>
    </row>
    <row r="29">
      <c r="A29" s="3" t="inlineStr">
        <is>
          <t>Year 1 (Pilots + initial scale)</t>
        </is>
      </c>
      <c r="B29" s="16">
        <f>2*Inputs!$B$18+Inputs!$B$19*Inputs!$B$21</f>
        <v/>
      </c>
      <c r="C29" s="16">
        <f>(D13+D25)/2</f>
        <v/>
      </c>
      <c r="D29" s="16">
        <f>C29-B29</f>
        <v/>
      </c>
      <c r="E29" s="23">
        <f>D29/((1+Inputs!$B$14)^1)</f>
        <v/>
      </c>
    </row>
    <row r="30">
      <c r="A30" s="3" t="inlineStr">
        <is>
          <t>Year 2 (Full operation)</t>
        </is>
      </c>
      <c r="B30" s="16">
        <f>2*Inputs!$B$20</f>
        <v/>
      </c>
      <c r="C30" s="16">
        <f>D13+D25</f>
        <v/>
      </c>
      <c r="D30" s="16">
        <f>C30-B30</f>
        <v/>
      </c>
      <c r="E30" s="23">
        <f>D30/((1+Inputs!$B$14)^2)</f>
        <v/>
      </c>
    </row>
    <row r="31">
      <c r="A31" s="3" t="inlineStr">
        <is>
          <t>Year 3 (Full operation)</t>
        </is>
      </c>
      <c r="B31" s="16">
        <f>2*Inputs!$B$20</f>
        <v/>
      </c>
      <c r="C31" s="16">
        <f>D13+D25</f>
        <v/>
      </c>
      <c r="D31" s="16">
        <f>C31-B31</f>
        <v/>
      </c>
      <c r="E31" s="23">
        <f>D31/((1+Inputs!$B$14)^3)</f>
        <v/>
      </c>
    </row>
    <row r="33" ht="30" customHeight="1">
      <c r="A33" s="17" t="inlineStr">
        <is>
          <t>3-YEAR NPV (BOTH PILOTS, SCALED)</t>
        </is>
      </c>
      <c r="E33" s="24">
        <f>SUM(E29:E31)</f>
        <v/>
      </c>
    </row>
  </sheetData>
  <mergeCells count="4">
    <mergeCell ref="A15:E15"/>
    <mergeCell ref="A1:E1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30" customHeight="1">
      <c r="A1" s="1" t="inlineStr">
        <is>
          <t>ALL 8 USE CASES  ·  Per-Line Annual Value Estimates</t>
        </is>
      </c>
    </row>
    <row r="3">
      <c r="A3" s="13" t="inlineStr">
        <is>
          <t>Use Case</t>
        </is>
      </c>
      <c r="B3" s="13" t="inlineStr">
        <is>
          <t>Driver (per line)</t>
        </is>
      </c>
      <c r="C3" s="13" t="inlineStr">
        <is>
          <t>Improvement %</t>
        </is>
      </c>
      <c r="D3" s="13" t="inlineStr">
        <is>
          <t>Baseline Cost</t>
        </is>
      </c>
      <c r="E3" s="13" t="inlineStr">
        <is>
          <t>Annual Value</t>
        </is>
      </c>
      <c r="F3" s="13" t="inlineStr">
        <is>
          <t>Scaled (× lines)</t>
        </is>
      </c>
      <c r="G3" s="13" t="inlineStr">
        <is>
          <t>Hyundai Anchor</t>
        </is>
      </c>
    </row>
    <row r="4">
      <c r="A4" s="17" t="inlineStr">
        <is>
          <t>UC-01 Visual Inspection</t>
        </is>
      </c>
      <c r="B4" s="3" t="inlineStr">
        <is>
          <t>Escape defect warranty cost</t>
        </is>
      </c>
      <c r="C4" s="25" t="n">
        <v>0.6</v>
      </c>
      <c r="D4" s="16">
        <f>Inputs!$B$4*Inputs!$B$5*Inputs!$B$12*Inputs!$B$7</f>
        <v/>
      </c>
      <c r="E4" s="15">
        <f>C4*D4</f>
        <v/>
      </c>
      <c r="F4" s="18">
        <f>E4*Inputs!$B$21</f>
        <v/>
      </c>
      <c r="G4" s="6" t="inlineStr">
        <is>
          <t>HMGMA · IONIQ paint shop</t>
        </is>
      </c>
    </row>
    <row r="5">
      <c r="A5" s="17" t="inlineStr">
        <is>
          <t>UC-02 Variant Confirmation</t>
        </is>
      </c>
      <c r="B5" s="3" t="inlineStr">
        <is>
          <t>Wrong-variant rework events</t>
        </is>
      </c>
      <c r="C5" s="25" t="n">
        <v>0.7</v>
      </c>
      <c r="D5" s="16">
        <f>Inputs!$B$4*Inputs!$B$5*0.005*Inputs!$B$8*4</f>
        <v/>
      </c>
      <c r="E5" s="15">
        <f>C5*D5</f>
        <v/>
      </c>
      <c r="F5" s="18">
        <f>E5*Inputs!$B$21</f>
        <v/>
      </c>
      <c r="G5" s="6" t="inlineStr">
        <is>
          <t>High-variant Tucson trim lines · Genesis</t>
        </is>
      </c>
    </row>
    <row r="6">
      <c r="A6" s="17" t="inlineStr">
        <is>
          <t>UC-03 Seating &amp; Component Validation</t>
        </is>
      </c>
      <c r="B6" s="3" t="inlineStr">
        <is>
          <t>Fitment-related recall risk</t>
        </is>
      </c>
      <c r="C6" s="25" t="n">
        <v>0.85</v>
      </c>
      <c r="D6" s="16">
        <f>2000000</f>
        <v/>
      </c>
      <c r="E6" s="15">
        <f>C6*D6</f>
        <v/>
      </c>
      <c r="F6" s="18">
        <f>E6*Inputs!$B$21</f>
        <v/>
      </c>
      <c r="G6" s="6" t="inlineStr">
        <is>
          <t>Final assembly · all passenger lines</t>
        </is>
      </c>
    </row>
    <row r="7">
      <c r="A7" s="17" t="inlineStr">
        <is>
          <t>UC-04 SOP Compliance</t>
        </is>
      </c>
      <c r="B7" s="3" t="inlineStr">
        <is>
          <t>Final-stage defect leakage</t>
        </is>
      </c>
      <c r="C7" s="25" t="n">
        <v>0.4</v>
      </c>
      <c r="D7" s="16">
        <f>Inputs!$B$4*Inputs!$B$5*0.008*Inputs!$B$7</f>
        <v/>
      </c>
      <c r="E7" s="15">
        <f>C7*D7</f>
        <v/>
      </c>
      <c r="F7" s="18">
        <f>E7*Inputs!$B$21</f>
        <v/>
      </c>
      <c r="G7" s="6" t="inlineStr">
        <is>
          <t>Complex assembly cells · Genesis</t>
        </is>
      </c>
    </row>
    <row r="8">
      <c r="A8" s="17" t="inlineStr">
        <is>
          <t>UC-05 Predictive Quality</t>
        </is>
      </c>
      <c r="B8" s="3" t="inlineStr">
        <is>
          <t>Scrap + rework cost</t>
        </is>
      </c>
      <c r="C8" s="25" t="n">
        <v>0.35</v>
      </c>
      <c r="D8" s="16">
        <f>Inputs!$B$4*Inputs!$B$5*Inputs!$B$13*Inputs!$B$8</f>
        <v/>
      </c>
      <c r="E8" s="15">
        <f>C8*D8</f>
        <v/>
      </c>
      <c r="F8" s="18">
        <f>E8*Inputs!$B$21</f>
        <v/>
      </c>
      <c r="G8" s="6" t="inlineStr">
        <is>
          <t>Body-in-white · welding shops</t>
        </is>
      </c>
    </row>
    <row r="9">
      <c r="A9" s="17" t="inlineStr">
        <is>
          <t>UC-06 Predictive Maintenance</t>
        </is>
      </c>
      <c r="B9" s="3" t="inlineStr">
        <is>
          <t>Unplanned downtime cost</t>
        </is>
      </c>
      <c r="C9" s="25" t="n">
        <v>0.4</v>
      </c>
      <c r="D9" s="16">
        <f>Inputs!$B$11*52*60*Inputs!$B$10</f>
        <v/>
      </c>
      <c r="E9" s="15">
        <f>C9*D9</f>
        <v/>
      </c>
      <c r="F9" s="18">
        <f>E9*Inputs!$B$21</f>
        <v/>
      </c>
      <c r="G9" s="6" t="inlineStr">
        <is>
          <t>Ulsan stamping · Asan welding</t>
        </is>
      </c>
    </row>
    <row r="10">
      <c r="A10" s="17" t="inlineStr">
        <is>
          <t>UC-07 Safety Monitoring</t>
        </is>
      </c>
      <c r="B10" s="3" t="inlineStr">
        <is>
          <t>Incident + EHS exposure</t>
        </is>
      </c>
      <c r="C10" s="25" t="n">
        <v>0.55</v>
      </c>
      <c r="D10" s="16">
        <f>1500000</f>
        <v/>
      </c>
      <c r="E10" s="15">
        <f>C10*D10</f>
        <v/>
      </c>
      <c r="F10" s="18">
        <f>E10*Inputs!$B$21</f>
        <v/>
      </c>
      <c r="G10" s="6" t="inlineStr">
        <is>
          <t>Plant-wide · HMMA / HMI / HMMC rollout pattern</t>
        </is>
      </c>
    </row>
    <row r="11">
      <c r="A11" s="17" t="inlineStr">
        <is>
          <t>UC-08 Digital Traceability</t>
        </is>
      </c>
      <c r="B11" s="3" t="inlineStr">
        <is>
          <t>Recall investigation + audit</t>
        </is>
      </c>
      <c r="C11" s="25" t="n">
        <v>0.7</v>
      </c>
      <c r="D11" s="16">
        <f>3000000</f>
        <v/>
      </c>
      <c r="E11" s="15">
        <f>C11*D11</f>
        <v/>
      </c>
      <c r="F11" s="18">
        <f>E11*Inputs!$B$21</f>
        <v/>
      </c>
      <c r="G11" s="6" t="inlineStr">
        <is>
          <t>Cross-plant supply chain · component genealogy</t>
        </is>
      </c>
    </row>
    <row r="13" ht="28" customHeight="1">
      <c r="A13" s="17" t="inlineStr">
        <is>
          <t>TOTAL — All 8 Use Cases, Scaled</t>
        </is>
      </c>
      <c r="E13" s="26">
        <f>SUM(E4:E11)</f>
        <v/>
      </c>
      <c r="F13" s="18">
        <f>SUM(F4:F11)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ASSUMPTIONS  ·  SOURCES  ·  SENSITIVITY</t>
        </is>
      </c>
    </row>
    <row r="3">
      <c r="A3" s="27" t="inlineStr"/>
    </row>
    <row r="4">
      <c r="A4" s="28" t="inlineStr">
        <is>
          <t>PURPOSE</t>
        </is>
      </c>
    </row>
    <row r="5">
      <c r="A5" s="27" t="inlineStr">
        <is>
          <t>This workbook lets Hyundai stakeholders enter their own line economics and see the resulting</t>
        </is>
      </c>
    </row>
    <row r="6">
      <c r="A6" s="27" t="inlineStr">
        <is>
          <t>ROI for the two recommended pilots (Visual Inspection + Predictive Maintenance) and for all</t>
        </is>
      </c>
    </row>
    <row r="7">
      <c r="A7" s="27" t="inlineStr">
        <is>
          <t>eight use cases in the AI for Plant Operations deck. Yellow cells in the Inputs tab are editable.</t>
        </is>
      </c>
    </row>
    <row r="8">
      <c r="A8" s="27" t="inlineStr">
        <is>
          <t>All other cells are formulas.</t>
        </is>
      </c>
    </row>
    <row r="9">
      <c r="A9" s="27" t="inlineStr"/>
    </row>
    <row r="10">
      <c r="A10" s="28" t="inlineStr">
        <is>
          <t>DEFAULT VALUES — SOURCES</t>
        </is>
      </c>
    </row>
    <row r="11">
      <c r="A11" s="27" t="inlineStr">
        <is>
          <t>• Vehicles per day (1,600) — single high-volume line at Ulsan-scale plant; ~400K vehicles/year per line.</t>
        </is>
      </c>
    </row>
    <row r="12">
      <c r="A12" s="27" t="inlineStr">
        <is>
          <t>• Production days (300) — standard automotive year less planned shutdowns.</t>
        </is>
      </c>
    </row>
    <row r="13">
      <c r="A13" s="27" t="inlineStr">
        <is>
          <t>• Downtime cost ($22,000/min) — automotive industry standard for high-volume final-assembly lines.</t>
        </is>
      </c>
    </row>
    <row r="14">
      <c r="A14" s="27" t="inlineStr">
        <is>
          <t>• Downtime baseline (6.4 hrs/week) — anchored on the Global EV manufacturer reference case from the deck.</t>
        </is>
      </c>
    </row>
    <row r="15">
      <c r="A15" s="27" t="inlineStr">
        <is>
          <t>• Defect escape rate (1.2%) and rework rate (8%) — pre-AI baselines from Tier-1 OEM paint shop reference case.</t>
        </is>
      </c>
    </row>
    <row r="16">
      <c r="A16" s="27" t="inlineStr">
        <is>
          <t>• Improvement percentages — taken from in-production outcome ranges of comparable AI deployments; same</t>
        </is>
      </c>
    </row>
    <row r="17">
      <c r="A17" s="27" t="inlineStr">
        <is>
          <t xml:space="preserve">  ranges shown in the use case slides of the companion deck.</t>
        </is>
      </c>
    </row>
    <row r="18">
      <c r="A18" s="27" t="inlineStr"/>
    </row>
    <row r="19">
      <c r="A19" s="28" t="inlineStr">
        <is>
          <t>WHAT THIS DOES NOT MODEL</t>
        </is>
      </c>
    </row>
    <row r="20">
      <c r="A20" s="27" t="inlineStr">
        <is>
          <t>• One-time Hyundai-side capex on Hyundai-owned infrastructure (cameras, gateways) — varies by line and</t>
        </is>
      </c>
    </row>
    <row r="21">
      <c r="A21" s="27" t="inlineStr">
        <is>
          <t xml:space="preserve">  is part of pilot scoping.</t>
        </is>
      </c>
    </row>
    <row r="22">
      <c r="A22" s="27" t="inlineStr">
        <is>
          <t>• Brand / warranty halo from quality improvements — real but hard to quantify precisely; treat as upside.</t>
        </is>
      </c>
    </row>
    <row r="23">
      <c r="A23" s="27" t="inlineStr">
        <is>
          <t>• Strategic optionality: foundation for the other six use cases. Pilots 1 &amp; 2 create the data + integration</t>
        </is>
      </c>
    </row>
    <row r="24">
      <c r="A24" s="27" t="inlineStr">
        <is>
          <t xml:space="preserve">  scaffolding that compresses time-to-deploy for UCs 02, 03, 04, 05, 07, 08.</t>
        </is>
      </c>
    </row>
    <row r="25">
      <c r="A25" s="27" t="inlineStr"/>
    </row>
    <row r="26">
      <c r="A26" s="28" t="inlineStr">
        <is>
          <t>SENSITIVITY</t>
        </is>
      </c>
    </row>
    <row r="27">
      <c r="A27" s="27" t="inlineStr">
        <is>
          <t>The single largest swing variable is unplanned downtime cost per minute. Halving it (to $11K) cuts</t>
        </is>
      </c>
    </row>
    <row r="28">
      <c r="A28" s="27" t="inlineStr">
        <is>
          <t>Pilot 2's value roughly in half; doubling it (to $44K) roughly doubles it. The model is conservative</t>
        </is>
      </c>
    </row>
    <row r="29">
      <c r="A29" s="27" t="inlineStr">
        <is>
          <t>against the industry-standard figure.</t>
        </is>
      </c>
    </row>
    <row r="30">
      <c r="A30" s="27" t="inlineStr"/>
    </row>
    <row r="31">
      <c r="A31" s="28" t="inlineStr">
        <is>
          <t>USE IN THE MEETING</t>
        </is>
      </c>
    </row>
    <row r="32">
      <c r="A32" s="27" t="inlineStr">
        <is>
          <t>Open this workbook with Hyundai's operations / finance counterpart present. Walk the Inputs sheet,</t>
        </is>
      </c>
    </row>
    <row r="33">
      <c r="A33" s="27" t="inlineStr">
        <is>
          <t>let them overwrite defaults with their internal numbers, and watch the Pilot Sizing and Full Use Cases</t>
        </is>
      </c>
    </row>
    <row r="34">
      <c r="A34" s="27" t="inlineStr">
        <is>
          <t>sheets recalculate live. Make the recommendation feel inevitable: 'These are your numbers, not ours.'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2026-05-19T03:58:46Z</dcterms:created>
  <dcterms:modified xmlns:dcterms="http://purl.org/dc/terms/" xmlns:xsi="http://www.w3.org/2001/XMLSchema-instance" xsi:type="dcterms:W3CDTF">2026-05-19T03:58:46Z</dcterms:modified>
</cp:coreProperties>
</file>